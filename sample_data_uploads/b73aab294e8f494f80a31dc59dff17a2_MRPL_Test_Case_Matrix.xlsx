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 Cases" sheetId="1" state="visible" r:id="rId3"/>
    <sheet name="Summary" sheetId="2" state="visible" r:id="rId4"/>
    <sheet name="Network Isolation Log" sheetId="3" state="visible" r:id="rId5"/>
  </sheets>
  <definedNames>
    <definedName function="false" hidden="true" localSheetId="0" name="_xlnm._FilterDatabase" vbProcedure="false">'Test Cases'!$A$1:$M$27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<sst xmlns="http://schemas.openxmlformats.org/spreadsheetml/2006/main" count="295" uniqueCount="202">
  <si>
    <t xml:space="preserve">Test ID</t>
  </si>
  <si>
    <t xml:space="preserve">Module</t>
  </si>
  <si>
    <t xml:space="preserve">Test Case Description</t>
  </si>
  <si>
    <t xml:space="preserve">Pre-conditions</t>
  </si>
  <si>
    <t xml:space="preserve">Test Steps</t>
  </si>
  <si>
    <t xml:space="preserve">Expected Result</t>
  </si>
  <si>
    <t xml:space="preserve">Model / Tool Used</t>
  </si>
  <si>
    <t xml:space="preserve">Priority</t>
  </si>
  <si>
    <t xml:space="preserve">Status</t>
  </si>
  <si>
    <t xml:space="preserve">Actual Result</t>
  </si>
  <si>
    <t xml:space="preserve">Tested By</t>
  </si>
  <si>
    <t xml:space="preserve">Date</t>
  </si>
  <si>
    <t xml:space="preserve">Evidence / Notes</t>
  </si>
  <si>
    <t xml:space="preserve">TC-01</t>
  </si>
  <si>
    <t xml:space="preserve">Task Router</t>
  </si>
  <si>
    <t xml:space="preserve">Route a coding request to the coder model</t>
  </si>
  <si>
    <t xml:space="preserve">Ollama running; router.py active</t>
  </si>
  <si>
    <t xml:space="preserve">Submit prompt: 'Write a Python function to average a list of tank-level readings'</t>
  </si>
  <si>
    <t xml:space="preserve">Request is routed to qwen2.5-coder:7b; response contains working Python code</t>
  </si>
  <si>
    <t xml:space="preserve">qwen2.5-coder:7b</t>
  </si>
  <si>
    <t xml:space="preserve">High</t>
  </si>
  <si>
    <t xml:space="preserve">Not Executed</t>
  </si>
  <si>
    <t xml:space="preserve">TC-02</t>
  </si>
  <si>
    <t xml:space="preserve">Route a general/document request to the chat model</t>
  </si>
  <si>
    <t xml:space="preserve">Submit prompt: 'Summarise this SOP in 3 bullet points'</t>
  </si>
  <si>
    <t xml:space="preserve">Request is routed to qwen2.5:7b; response is a concise 3-point summary</t>
  </si>
  <si>
    <t xml:space="preserve">qwen2.5:7b</t>
  </si>
  <si>
    <t xml:space="preserve">TC-03</t>
  </si>
  <si>
    <t xml:space="preserve">Route an image/document upload to the vision model</t>
  </si>
  <si>
    <t xml:space="preserve">Upload a scanned document image and ask a question about it</t>
  </si>
  <si>
    <t xml:space="preserve">Request is routed to qwen2.5vl:7b; response references image content correctly</t>
  </si>
  <si>
    <t xml:space="preserve">qwen2.5vl:7b</t>
  </si>
  <si>
    <t xml:space="preserve">TC-04</t>
  </si>
  <si>
    <t xml:space="preserve">Reject / handle an ambiguous or malformed request gracefully</t>
  </si>
  <si>
    <t xml:space="preserve">App running</t>
  </si>
  <si>
    <t xml:space="preserve">Submit an empty or nonsensical prompt</t>
  </si>
  <si>
    <t xml:space="preserve">System responds with a clarification request rather than crashing</t>
  </si>
  <si>
    <t xml:space="preserve">router.py</t>
  </si>
  <si>
    <t xml:space="preserve">Medium</t>
  </si>
  <si>
    <t xml:space="preserve">TC-05</t>
  </si>
  <si>
    <t xml:space="preserve">RAG / SOP Search</t>
  </si>
  <si>
    <t xml:space="preserve">Ingest sample SOP documents into ChromaDB</t>
  </si>
  <si>
    <t xml:space="preserve">ingest_sops.py available; sample SOPs present</t>
  </si>
  <si>
    <t xml:space="preserve">Run ingest_sops.py against a sample SOP folder</t>
  </si>
  <si>
    <t xml:space="preserve">Documents chunked, embedded and stored in ChromaDB without error</t>
  </si>
  <si>
    <t xml:space="preserve">rag_mcp_server.py / ChromaDB</t>
  </si>
  <si>
    <t xml:space="preserve">TC-06</t>
  </si>
  <si>
    <t xml:space="preserve">Retrieve relevant SOP evidence for a direct question</t>
  </si>
  <si>
    <t xml:space="preserve">TC-05 complete</t>
  </si>
  <si>
    <t xml:space="preserve">Ask a question whose answer exists in an ingested SOP</t>
  </si>
  <si>
    <t xml:space="preserve">Correct SOP passage(s) retrieved and cited in the grounded response</t>
  </si>
  <si>
    <t xml:space="preserve">qwen2.5:7b + ChromaDB</t>
  </si>
  <si>
    <t xml:space="preserve">TC-07</t>
  </si>
  <si>
    <t xml:space="preserve">Handle a question with no matching SOP evidence</t>
  </si>
  <si>
    <t xml:space="preserve">Ask a question outside the ingested SOP corpus</t>
  </si>
  <si>
    <t xml:space="preserve">System states no matching evidence was found rather than fabricating an SOP reference</t>
  </si>
  <si>
    <t xml:space="preserve">rag_mcp_server.py</t>
  </si>
  <si>
    <t xml:space="preserve">TC-08</t>
  </si>
  <si>
    <t xml:space="preserve">Vision / OCR</t>
  </si>
  <si>
    <t xml:space="preserve">Extract text from a clean scanned document</t>
  </si>
  <si>
    <t xml:space="preserve">Sample scanned PDF/image available</t>
  </si>
  <si>
    <t xml:space="preserve">Upload a clear scanned inspection report page</t>
  </si>
  <si>
    <t xml:space="preserve">Extracted text matches source document with no material transcription errors</t>
  </si>
  <si>
    <t xml:space="preserve">qwen2.5vl:7b / OCR</t>
  </si>
  <si>
    <t xml:space="preserve">TC-09</t>
  </si>
  <si>
    <t xml:space="preserve">Extract text from a handwritten note or low-quality scan</t>
  </si>
  <si>
    <t xml:space="preserve">Sample handwritten note image available</t>
  </si>
  <si>
    <t xml:space="preserve">Upload a handwritten note photo and request transcription</t>
  </si>
  <si>
    <t xml:space="preserve">Extracted text is substantially accurate; low-confidence sections are flagged, not guessed silently</t>
  </si>
  <si>
    <t xml:space="preserve">TC-10</t>
  </si>
  <si>
    <t xml:space="preserve">Interpret a sample P&amp;ID / engineering drawing</t>
  </si>
  <si>
    <t xml:space="preserve">Sample P&amp;ID image available (public dataset)</t>
  </si>
  <si>
    <t xml:space="preserve">Upload P&amp;ID image and ask to identify visible tags/components</t>
  </si>
  <si>
    <t xml:space="preserve">Response correctly identifies a reasonable subset of visible tags/components</t>
  </si>
  <si>
    <t xml:space="preserve">TC-11</t>
  </si>
  <si>
    <t xml:space="preserve">Agentic Workflow (E2E)</t>
  </si>
  <si>
    <t xml:space="preserve">Inspection report to approval note, full chain</t>
  </si>
  <si>
    <t xml:space="preserve">TC-05, TC-08 complete; docgen_mcp_server.py running</t>
  </si>
  <si>
    <t xml:space="preserve">Upload scanned inspection report and request an approval note</t>
  </si>
  <si>
    <t xml:space="preserve">A .docx approval note is generated containing findings, an SOP reference, and a recommendation</t>
  </si>
  <si>
    <t xml:space="preserve">qwen2.5:7b + vision + RAG + docgen</t>
  </si>
  <si>
    <t xml:space="preserve">TC-12</t>
  </si>
  <si>
    <t xml:space="preserve">Generated approval note passes artifact validation</t>
  </si>
  <si>
    <t xml:space="preserve">TC-11 complete</t>
  </si>
  <si>
    <t xml:space="preserve">Inspect artifact_validation.py output/log for the generated file</t>
  </si>
  <si>
    <t xml:space="preserve">Validation reports the .docx as well-formed with no structural errors</t>
  </si>
  <si>
    <t xml:space="preserve">artifact_validation.py</t>
  </si>
  <si>
    <t xml:space="preserve">TC-13</t>
  </si>
  <si>
    <t xml:space="preserve">Code Execution</t>
  </si>
  <si>
    <t xml:space="preserve">Generate and execute a correct, simple script</t>
  </si>
  <si>
    <t xml:space="preserve">code_exec_mcp_server.py running</t>
  </si>
  <si>
    <t xml:space="preserve">Ask for a script with a known, verifiable output (e.g. compute sum of a fixed list)</t>
  </si>
  <si>
    <t xml:space="preserve">Code executes in the sandbox and returns the mathematically correct result</t>
  </si>
  <si>
    <t xml:space="preserve">qwen2.5-coder:7b + sandbox</t>
  </si>
  <si>
    <t xml:space="preserve">TC-14</t>
  </si>
  <si>
    <t xml:space="preserve">Handle a runtime error in generated/executed code</t>
  </si>
  <si>
    <t xml:space="preserve">Ask for code that will raise an exception (e.g. divide by zero) and run it</t>
  </si>
  <si>
    <t xml:space="preserve">Sandbox captures the error and returns a readable message; app does not crash</t>
  </si>
  <si>
    <t xml:space="preserve">code_exec_mcp_server.py</t>
  </si>
  <si>
    <t xml:space="preserve">TC-15</t>
  </si>
  <si>
    <t xml:space="preserve">Enforce execution timeout on a long-running/looping script</t>
  </si>
  <si>
    <t xml:space="preserve">Submit code with an intentional infinite loop</t>
  </si>
  <si>
    <t xml:space="preserve">Execution is terminated at the configured timeout; user is notified, not left hanging</t>
  </si>
  <si>
    <t xml:space="preserve">TC-16</t>
  </si>
  <si>
    <t xml:space="preserve">Document Generation</t>
  </si>
  <si>
    <t xml:space="preserve">Generate a Word (.docx) document from a text request</t>
  </si>
  <si>
    <t xml:space="preserve">docgen_mcp_server.py running</t>
  </si>
  <si>
    <t xml:space="preserve">Request a formatted memo/note on a given topic</t>
  </si>
  <si>
    <t xml:space="preserve">A downloadable, correctly formatted .docx is produced</t>
  </si>
  <si>
    <t xml:space="preserve">docgen_mcp_server.py</t>
  </si>
  <si>
    <t xml:space="preserve">TC-17</t>
  </si>
  <si>
    <t xml:space="preserve">Generate an Excel (.xlsx) spreadsheet from structured data</t>
  </si>
  <si>
    <t xml:space="preserve">xlsx_mcp_server.py running</t>
  </si>
  <si>
    <t xml:space="preserve">Request a spreadsheet summarising a small structured dataset</t>
  </si>
  <si>
    <t xml:space="preserve">A downloadable .xlsx is produced with correct rows/columns and no formula errors</t>
  </si>
  <si>
    <t xml:space="preserve">xlsx_mcp_server.py</t>
  </si>
  <si>
    <t xml:space="preserve">TC-18</t>
  </si>
  <si>
    <t xml:space="preserve">Generate a PowerPoint (.pptx) deck from a content outline</t>
  </si>
  <si>
    <t xml:space="preserve">pptx_mcp_server.py running</t>
  </si>
  <si>
    <t xml:space="preserve">Request a short slide deck summarising a topic</t>
  </si>
  <si>
    <t xml:space="preserve">A downloadable .pptx is produced with the requested number of slides and correct content</t>
  </si>
  <si>
    <t xml:space="preserve">pptx_mcp_server.py</t>
  </si>
  <si>
    <t xml:space="preserve">TC-19</t>
  </si>
  <si>
    <t xml:space="preserve">Email</t>
  </si>
  <si>
    <t xml:space="preserve">Draft and send an email via local MailHog</t>
  </si>
  <si>
    <t xml:space="preserve">email_mcp_server.py + MailHog running locally</t>
  </si>
  <si>
    <t xml:space="preserve">Ask the assistant to draft and send a summary email to a test address</t>
  </si>
  <si>
    <t xml:space="preserve">Email appears in local MailHog inbox with correct drafted content; no external SMTP call made</t>
  </si>
  <si>
    <t xml:space="preserve">email_mcp_server.py / MailHog</t>
  </si>
  <si>
    <t xml:space="preserve">Low</t>
  </si>
  <si>
    <t xml:space="preserve">TC-20</t>
  </si>
  <si>
    <t xml:space="preserve">Policy / Approval</t>
  </si>
  <si>
    <t xml:space="preserve">Sensitive operation triggers an approval request</t>
  </si>
  <si>
    <t xml:space="preserve">policy.py active; a policy-flagged action defined</t>
  </si>
  <si>
    <t xml:space="preserve">Trigger an action classified as sensitive (per policy.py rules)</t>
  </si>
  <si>
    <t xml:space="preserve">System pauses and asks the user for explicit approval before executing</t>
  </si>
  <si>
    <t xml:space="preserve">policy.py</t>
  </si>
  <si>
    <t xml:space="preserve">TC-21</t>
  </si>
  <si>
    <t xml:space="preserve">Approved sensitive action executes after confirmation</t>
  </si>
  <si>
    <t xml:space="preserve">TC-20 in pending state</t>
  </si>
  <si>
    <t xml:space="preserve">Approve the pending action via the UI</t>
  </si>
  <si>
    <t xml:space="preserve">Action executes and result is returned; action log reflects the approval</t>
  </si>
  <si>
    <t xml:space="preserve">TC-22</t>
  </si>
  <si>
    <t xml:space="preserve">Denied sensitive action does not execute</t>
  </si>
  <si>
    <t xml:space="preserve">Deny the pending action via the UI</t>
  </si>
  <si>
    <t xml:space="preserve">Action is not executed; system confirms cancellation to the user</t>
  </si>
  <si>
    <t xml:space="preserve">TC-23</t>
  </si>
  <si>
    <t xml:space="preserve">Memory</t>
  </si>
  <si>
    <t xml:space="preserve">Conversation context persists within a session</t>
  </si>
  <si>
    <t xml:space="preserve">chat_memory.py active</t>
  </si>
  <si>
    <t xml:space="preserve">Ask a follow-up question that depends on earlier context in the same session</t>
  </si>
  <si>
    <t xml:space="preserve">Response correctly uses earlier context (e.g. refers back to an uploaded document)</t>
  </si>
  <si>
    <t xml:space="preserve">chat_memory.py</t>
  </si>
  <si>
    <t xml:space="preserve">TC-24</t>
  </si>
  <si>
    <t xml:space="preserve">Workflow state is retained across a multi-step agentic task</t>
  </si>
  <si>
    <t xml:space="preserve">workflow_memory.py / task_state.py active</t>
  </si>
  <si>
    <t xml:space="preserve">Start Scenario B (TC-11) and inspect task_state.py trace mid-workflow</t>
  </si>
  <si>
    <t xml:space="preserve">Trace shows each step (extraction, retrieval, drafting, generation) recorded in order</t>
  </si>
  <si>
    <t xml:space="preserve">workflow_memory.py / task_state.py</t>
  </si>
  <si>
    <t xml:space="preserve">TC-25</t>
  </si>
  <si>
    <t xml:space="preserve">Network Isolation</t>
  </si>
  <si>
    <t xml:space="preserve">No external network call during a full end-to-end session</t>
  </si>
  <si>
    <t xml:space="preserve">Packet capture / firewall logging tool running for the session</t>
  </si>
  <si>
    <t xml:space="preserve">Run TC-01 through TC-19 with capture active, then review the log</t>
  </si>
  <si>
    <t xml:space="preserve">Capture shows zero connections to any destination outside localhost / the local subnet</t>
  </si>
  <si>
    <t xml:space="preserve">OS firewall log / Wireshark</t>
  </si>
  <si>
    <t xml:space="preserve">Critical</t>
  </si>
  <si>
    <t xml:space="preserve">TC-26</t>
  </si>
  <si>
    <t xml:space="preserve">System remains functional with the network interface physically disabled</t>
  </si>
  <si>
    <t xml:space="preserve">Test machine's network interface can be disabled/unplugged</t>
  </si>
  <si>
    <t xml:space="preserve">Disable networking entirely and repeat TC-01, TC-06, TC-11, TC-13</t>
  </si>
  <si>
    <t xml:space="preserve">All four still complete successfully with identical results to the networked run</t>
  </si>
  <si>
    <t xml:space="preserve">N/A — infra test</t>
  </si>
  <si>
    <t xml:space="preserve">Legend:</t>
  </si>
  <si>
    <t xml:space="preserve">Status column: select from dropdown (Not Executed / Pass / Fail / Blocked). Fill 'Actual Result', 'Tested By', 'Date' and 'Evidence / Notes' columns during execution.</t>
  </si>
  <si>
    <t xml:space="preserve">MRPL Sovereign AI Workbench — Test Execution Summary</t>
  </si>
  <si>
    <t xml:space="preserve">By Status</t>
  </si>
  <si>
    <t xml:space="preserve">By Module</t>
  </si>
  <si>
    <t xml:space="preserve">Count</t>
  </si>
  <si>
    <t xml:space="preserve">Pass</t>
  </si>
  <si>
    <t xml:space="preserve">Fail</t>
  </si>
  <si>
    <t xml:space="preserve">Blocked</t>
  </si>
  <si>
    <t xml:space="preserve">Total Test Cases</t>
  </si>
  <si>
    <t xml:space="preserve">Note: counts recalculate automatically from the 'Test Cases' sheet as Status values are updated during execution.</t>
  </si>
  <si>
    <t xml:space="preserve">Timestamp</t>
  </si>
  <si>
    <t xml:space="preserve">Scenario Under Test</t>
  </si>
  <si>
    <t xml:space="preserve">Monitoring Tool</t>
  </si>
  <si>
    <t xml:space="preserve">Outbound Connections Observed</t>
  </si>
  <si>
    <t xml:space="preserve">External Destination? (Y/N)</t>
  </si>
  <si>
    <t xml:space="preserve">Action Taken</t>
  </si>
  <si>
    <t xml:space="preserve">Verified By</t>
  </si>
  <si>
    <t xml:space="preserve">[Insert]</t>
  </si>
  <si>
    <t xml:space="preserve">Scenario A – Model routing</t>
  </si>
  <si>
    <t xml:space="preserve">e.g. Wireshark / iptables log</t>
  </si>
  <si>
    <t xml:space="preserve">e.g. 0 packets outside localhost</t>
  </si>
  <si>
    <t xml:space="preserve">N</t>
  </si>
  <si>
    <t xml:space="preserve">None required</t>
  </si>
  <si>
    <t xml:space="preserve">Scenario B – Inspection report → approval note</t>
  </si>
  <si>
    <t xml:space="preserve">Scenario C – Coding task in sandbox</t>
  </si>
  <si>
    <t xml:space="preserve">Scenario D – Multimodal understanding</t>
  </si>
  <si>
    <t xml:space="preserve">Full session (TC-01 to TC-19)</t>
  </si>
  <si>
    <t xml:space="preserve">Purpose: this log is the physical evidence for the sovereignty / air-gap claim required by Problem Statement 26117. Fill one row per test run; attach the raw capture file alongside this workbook.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</si>
</sst>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9.5"/>
      <color rgb="FF1E2761"/>
      <name val="Arial"/>
      <family val="0"/>
      <charset val="1"/>
    </font>
    <font>
      <sz val="9.5"/>
      <color rgb="FF000000"/>
      <name val="Arial"/>
      <family val="0"/>
      <charset val="1"/>
    </font>
    <font>
      <b val="true"/>
      <sz val="9.5"/>
      <color rgb="FFE36C0A"/>
      <name val="Arial"/>
      <family val="0"/>
      <charset val="1"/>
    </font>
    <font>
      <b val="true"/>
      <sz val="9.5"/>
      <name val="Arial"/>
      <family val="0"/>
      <charset val="1"/>
    </font>
    <font>
      <b val="true"/>
      <sz val="9.5"/>
      <color rgb="FFBF8F00"/>
      <name val="Arial"/>
      <family val="0"/>
      <charset val="1"/>
    </font>
    <font>
      <b val="true"/>
      <sz val="9.5"/>
      <color rgb="FF548235"/>
      <name val="Arial"/>
      <family val="0"/>
      <charset val="1"/>
    </font>
    <font>
      <b val="true"/>
      <sz val="9.5"/>
      <color rgb="FFC0000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4"/>
      <color rgb="FF1E2761"/>
      <name val="Arial"/>
      <family val="0"/>
      <charset val="1"/>
    </font>
    <font>
      <b val="true"/>
      <sz val="11"/>
      <color rgb="FF1E2761"/>
      <name val="Arial"/>
      <family val="0"/>
      <charset val="1"/>
    </font>
    <font>
      <sz val="10"/>
      <name val="Arial"/>
      <family val="0"/>
      <charset val="1"/>
    </font>
    <font>
      <sz val="9.5"/>
      <name val="Arial"/>
      <family val="0"/>
      <charset val="1"/>
    </font>
    <font>
      <b val="true"/>
      <sz val="1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E2761"/>
        <bgColor rgb="FF333333"/>
      </patternFill>
    </fill>
    <fill>
      <patternFill patternType="solid">
        <fgColor rgb="FFF2F2F2"/>
        <bgColor rgb="FFFFFFFF"/>
      </patternFill>
    </fill>
    <fill>
      <patternFill patternType="solid">
        <fgColor rgb="FFD9D9D9"/>
        <bgColor rgb="FFC6E0B4"/>
      </patternFill>
    </fill>
    <fill>
      <patternFill patternType="solid">
        <fgColor rgb="FFC6E0B4"/>
        <bgColor rgb="FFD9D9D9"/>
      </patternFill>
    </fill>
    <fill>
      <patternFill patternType="solid">
        <fgColor rgb="FFF4CCCC"/>
        <bgColor rgb="FFD9D9D9"/>
      </patternFill>
    </fill>
    <fill>
      <patternFill patternType="solid">
        <fgColor rgb="FFFFE699"/>
        <bgColor rgb="FFF4CC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5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5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5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5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5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5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1E2761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548235"/>
          <bgColor rgb="FF000000"/>
        </patternFill>
      </fill>
    </dxf>
    <dxf>
      <fill>
        <patternFill patternType="solid">
          <fgColor rgb="FFBF8F00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 patternType="solid">
          <fgColor rgb="FFE36C0A"/>
          <bgColor rgb="FF000000"/>
        </patternFill>
      </fill>
    </dxf>
    <dxf>
      <fill>
        <patternFill patternType="solid">
          <fgColor rgb="FFD9D9D9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BF8F00"/>
      <rgbColor rgb="FFE36C0A"/>
      <rgbColor rgb="FF595959"/>
      <rgbColor rgb="FF969696"/>
      <rgbColor rgb="FF1E2761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6"/>
    <col collapsed="false" customWidth="true" hidden="false" outlineLevel="0" max="3" min="3" style="0" width="30"/>
    <col collapsed="false" customWidth="true" hidden="false" outlineLevel="0" max="4" min="4" style="0" width="24"/>
    <col collapsed="false" customWidth="true" hidden="false" outlineLevel="0" max="5" min="5" style="0" width="42"/>
    <col collapsed="false" customWidth="true" hidden="false" outlineLevel="0" max="6" min="6" style="0" width="34"/>
    <col collapsed="false" customWidth="true" hidden="false" outlineLevel="0" max="7" min="7" style="0" width="20"/>
    <col collapsed="false" customWidth="true" hidden="false" outlineLevel="0" max="8" min="8" style="0" width="10"/>
    <col collapsed="false" customWidth="true" hidden="false" outlineLevel="0" max="9" min="9" style="0" width="14"/>
    <col collapsed="false" customWidth="true" hidden="false" outlineLevel="0" max="10" min="10" style="0" width="26"/>
    <col collapsed="false" customWidth="true" hidden="false" outlineLevel="0" max="11" min="11" style="0" width="14"/>
    <col collapsed="false" customWidth="true" hidden="false" outlineLevel="0" max="12" min="12" style="0" width="12"/>
    <col collapsed="false" customWidth="true" hidden="false" outlineLevel="0" max="13" min="13" style="0" width="26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45.75" hidden="false" customHeight="true" outlineLevel="0" collapsed="false">
      <c r="A2" s="2" t="s">
        <v>13</v>
      </c>
      <c r="B2" s="3" t="s">
        <v>14</v>
      </c>
      <c r="C2" s="3" t="s">
        <v>15</v>
      </c>
      <c r="D2" s="3" t="s">
        <v>16</v>
      </c>
      <c r="E2" s="3" t="s">
        <v>17</v>
      </c>
      <c r="F2" s="3" t="s">
        <v>18</v>
      </c>
      <c r="G2" s="3" t="s">
        <v>19</v>
      </c>
      <c r="H2" s="4" t="s">
        <v>20</v>
      </c>
      <c r="I2" s="5" t="s">
        <v>21</v>
      </c>
      <c r="J2" s="3"/>
      <c r="K2" s="3"/>
      <c r="L2" s="3"/>
      <c r="M2" s="3"/>
    </row>
    <row r="3" customFormat="false" ht="45.75" hidden="false" customHeight="true" outlineLevel="0" collapsed="false">
      <c r="A3" s="6" t="s">
        <v>22</v>
      </c>
      <c r="B3" s="7" t="s">
        <v>14</v>
      </c>
      <c r="C3" s="7" t="s">
        <v>23</v>
      </c>
      <c r="D3" s="7" t="s">
        <v>16</v>
      </c>
      <c r="E3" s="7" t="s">
        <v>24</v>
      </c>
      <c r="F3" s="7" t="s">
        <v>25</v>
      </c>
      <c r="G3" s="7" t="s">
        <v>26</v>
      </c>
      <c r="H3" s="8" t="s">
        <v>20</v>
      </c>
      <c r="I3" s="5" t="s">
        <v>21</v>
      </c>
      <c r="J3" s="7"/>
      <c r="K3" s="7"/>
      <c r="L3" s="7"/>
      <c r="M3" s="7"/>
    </row>
    <row r="4" customFormat="false" ht="45.75" hidden="false" customHeight="true" outlineLevel="0" collapsed="false">
      <c r="A4" s="2" t="s">
        <v>27</v>
      </c>
      <c r="B4" s="3" t="s">
        <v>14</v>
      </c>
      <c r="C4" s="3" t="s">
        <v>28</v>
      </c>
      <c r="D4" s="3" t="s">
        <v>16</v>
      </c>
      <c r="E4" s="3" t="s">
        <v>29</v>
      </c>
      <c r="F4" s="3" t="s">
        <v>30</v>
      </c>
      <c r="G4" s="3" t="s">
        <v>31</v>
      </c>
      <c r="H4" s="4" t="s">
        <v>20</v>
      </c>
      <c r="I4" s="5" t="s">
        <v>21</v>
      </c>
      <c r="J4" s="3"/>
      <c r="K4" s="3"/>
      <c r="L4" s="3"/>
      <c r="M4" s="3"/>
    </row>
    <row r="5" customFormat="false" ht="45.75" hidden="false" customHeight="true" outlineLevel="0" collapsed="false">
      <c r="A5" s="6" t="s">
        <v>32</v>
      </c>
      <c r="B5" s="7" t="s">
        <v>14</v>
      </c>
      <c r="C5" s="7" t="s">
        <v>33</v>
      </c>
      <c r="D5" s="7" t="s">
        <v>34</v>
      </c>
      <c r="E5" s="7" t="s">
        <v>35</v>
      </c>
      <c r="F5" s="7" t="s">
        <v>36</v>
      </c>
      <c r="G5" s="7" t="s">
        <v>37</v>
      </c>
      <c r="H5" s="9" t="s">
        <v>38</v>
      </c>
      <c r="I5" s="5" t="s">
        <v>21</v>
      </c>
      <c r="J5" s="7"/>
      <c r="K5" s="7"/>
      <c r="L5" s="7"/>
      <c r="M5" s="7"/>
    </row>
    <row r="6" customFormat="false" ht="45.75" hidden="false" customHeight="true" outlineLevel="0" collapsed="false">
      <c r="A6" s="2" t="s">
        <v>39</v>
      </c>
      <c r="B6" s="3" t="s">
        <v>40</v>
      </c>
      <c r="C6" s="3" t="s">
        <v>41</v>
      </c>
      <c r="D6" s="3" t="s">
        <v>42</v>
      </c>
      <c r="E6" s="3" t="s">
        <v>43</v>
      </c>
      <c r="F6" s="3" t="s">
        <v>44</v>
      </c>
      <c r="G6" s="3" t="s">
        <v>45</v>
      </c>
      <c r="H6" s="4" t="s">
        <v>20</v>
      </c>
      <c r="I6" s="5" t="s">
        <v>21</v>
      </c>
      <c r="J6" s="3"/>
      <c r="K6" s="3"/>
      <c r="L6" s="3"/>
      <c r="M6" s="3"/>
    </row>
    <row r="7" customFormat="false" ht="45.75" hidden="false" customHeight="true" outlineLevel="0" collapsed="false">
      <c r="A7" s="6" t="s">
        <v>46</v>
      </c>
      <c r="B7" s="7" t="s">
        <v>40</v>
      </c>
      <c r="C7" s="7" t="s">
        <v>47</v>
      </c>
      <c r="D7" s="7" t="s">
        <v>48</v>
      </c>
      <c r="E7" s="7" t="s">
        <v>49</v>
      </c>
      <c r="F7" s="7" t="s">
        <v>50</v>
      </c>
      <c r="G7" s="7" t="s">
        <v>51</v>
      </c>
      <c r="H7" s="8" t="s">
        <v>20</v>
      </c>
      <c r="I7" s="5" t="s">
        <v>21</v>
      </c>
      <c r="J7" s="7"/>
      <c r="K7" s="7"/>
      <c r="L7" s="7"/>
      <c r="M7" s="7"/>
    </row>
    <row r="8" customFormat="false" ht="45.75" hidden="false" customHeight="true" outlineLevel="0" collapsed="false">
      <c r="A8" s="2" t="s">
        <v>52</v>
      </c>
      <c r="B8" s="3" t="s">
        <v>40</v>
      </c>
      <c r="C8" s="3" t="s">
        <v>53</v>
      </c>
      <c r="D8" s="3" t="s">
        <v>48</v>
      </c>
      <c r="E8" s="3" t="s">
        <v>54</v>
      </c>
      <c r="F8" s="3" t="s">
        <v>55</v>
      </c>
      <c r="G8" s="3" t="s">
        <v>56</v>
      </c>
      <c r="H8" s="4" t="s">
        <v>20</v>
      </c>
      <c r="I8" s="5" t="s">
        <v>21</v>
      </c>
      <c r="J8" s="3"/>
      <c r="K8" s="3"/>
      <c r="L8" s="3"/>
      <c r="M8" s="3"/>
    </row>
    <row r="9" customFormat="false" ht="45.75" hidden="false" customHeight="true" outlineLevel="0" collapsed="false">
      <c r="A9" s="6" t="s">
        <v>57</v>
      </c>
      <c r="B9" s="7" t="s">
        <v>58</v>
      </c>
      <c r="C9" s="7" t="s">
        <v>59</v>
      </c>
      <c r="D9" s="7" t="s">
        <v>60</v>
      </c>
      <c r="E9" s="7" t="s">
        <v>61</v>
      </c>
      <c r="F9" s="7" t="s">
        <v>62</v>
      </c>
      <c r="G9" s="7" t="s">
        <v>63</v>
      </c>
      <c r="H9" s="8" t="s">
        <v>20</v>
      </c>
      <c r="I9" s="5" t="s">
        <v>21</v>
      </c>
      <c r="J9" s="7"/>
      <c r="K9" s="7"/>
      <c r="L9" s="7"/>
      <c r="M9" s="7"/>
    </row>
    <row r="10" customFormat="false" ht="45.75" hidden="false" customHeight="true" outlineLevel="0" collapsed="false">
      <c r="A10" s="2" t="s">
        <v>64</v>
      </c>
      <c r="B10" s="3" t="s">
        <v>58</v>
      </c>
      <c r="C10" s="3" t="s">
        <v>65</v>
      </c>
      <c r="D10" s="3" t="s">
        <v>66</v>
      </c>
      <c r="E10" s="3" t="s">
        <v>67</v>
      </c>
      <c r="F10" s="3" t="s">
        <v>68</v>
      </c>
      <c r="G10" s="3" t="s">
        <v>63</v>
      </c>
      <c r="H10" s="10" t="s">
        <v>38</v>
      </c>
      <c r="I10" s="5" t="s">
        <v>21</v>
      </c>
      <c r="J10" s="3"/>
      <c r="K10" s="3"/>
      <c r="L10" s="3"/>
      <c r="M10" s="3"/>
    </row>
    <row r="11" customFormat="false" ht="45.75" hidden="false" customHeight="true" outlineLevel="0" collapsed="false">
      <c r="A11" s="6" t="s">
        <v>69</v>
      </c>
      <c r="B11" s="7" t="s">
        <v>58</v>
      </c>
      <c r="C11" s="7" t="s">
        <v>70</v>
      </c>
      <c r="D11" s="7" t="s">
        <v>71</v>
      </c>
      <c r="E11" s="7" t="s">
        <v>72</v>
      </c>
      <c r="F11" s="7" t="s">
        <v>73</v>
      </c>
      <c r="G11" s="7" t="s">
        <v>31</v>
      </c>
      <c r="H11" s="9" t="s">
        <v>38</v>
      </c>
      <c r="I11" s="5" t="s">
        <v>21</v>
      </c>
      <c r="J11" s="7"/>
      <c r="K11" s="7"/>
      <c r="L11" s="7"/>
      <c r="M11" s="7"/>
    </row>
    <row r="12" customFormat="false" ht="45.75" hidden="false" customHeight="true" outlineLevel="0" collapsed="false">
      <c r="A12" s="2" t="s">
        <v>74</v>
      </c>
      <c r="B12" s="3" t="s">
        <v>75</v>
      </c>
      <c r="C12" s="3" t="s">
        <v>76</v>
      </c>
      <c r="D12" s="3" t="s">
        <v>77</v>
      </c>
      <c r="E12" s="3" t="s">
        <v>78</v>
      </c>
      <c r="F12" s="3" t="s">
        <v>79</v>
      </c>
      <c r="G12" s="3" t="s">
        <v>80</v>
      </c>
      <c r="H12" s="4" t="s">
        <v>20</v>
      </c>
      <c r="I12" s="5" t="s">
        <v>21</v>
      </c>
      <c r="J12" s="3"/>
      <c r="K12" s="3"/>
      <c r="L12" s="3"/>
      <c r="M12" s="3"/>
    </row>
    <row r="13" customFormat="false" ht="45.75" hidden="false" customHeight="true" outlineLevel="0" collapsed="false">
      <c r="A13" s="6" t="s">
        <v>81</v>
      </c>
      <c r="B13" s="7" t="s">
        <v>75</v>
      </c>
      <c r="C13" s="7" t="s">
        <v>82</v>
      </c>
      <c r="D13" s="7" t="s">
        <v>83</v>
      </c>
      <c r="E13" s="7" t="s">
        <v>84</v>
      </c>
      <c r="F13" s="7" t="s">
        <v>85</v>
      </c>
      <c r="G13" s="7" t="s">
        <v>86</v>
      </c>
      <c r="H13" s="8" t="s">
        <v>20</v>
      </c>
      <c r="I13" s="5" t="s">
        <v>21</v>
      </c>
      <c r="J13" s="7"/>
      <c r="K13" s="7"/>
      <c r="L13" s="7"/>
      <c r="M13" s="7"/>
    </row>
    <row r="14" customFormat="false" ht="45.75" hidden="false" customHeight="true" outlineLevel="0" collapsed="false">
      <c r="A14" s="2" t="s">
        <v>87</v>
      </c>
      <c r="B14" s="3" t="s">
        <v>88</v>
      </c>
      <c r="C14" s="3" t="s">
        <v>89</v>
      </c>
      <c r="D14" s="3" t="s">
        <v>90</v>
      </c>
      <c r="E14" s="3" t="s">
        <v>91</v>
      </c>
      <c r="F14" s="3" t="s">
        <v>92</v>
      </c>
      <c r="G14" s="3" t="s">
        <v>93</v>
      </c>
      <c r="H14" s="4" t="s">
        <v>20</v>
      </c>
      <c r="I14" s="5" t="s">
        <v>21</v>
      </c>
      <c r="J14" s="3"/>
      <c r="K14" s="3"/>
      <c r="L14" s="3"/>
      <c r="M14" s="3"/>
    </row>
    <row r="15" customFormat="false" ht="45.75" hidden="false" customHeight="true" outlineLevel="0" collapsed="false">
      <c r="A15" s="6" t="s">
        <v>94</v>
      </c>
      <c r="B15" s="7" t="s">
        <v>88</v>
      </c>
      <c r="C15" s="7" t="s">
        <v>95</v>
      </c>
      <c r="D15" s="7" t="s">
        <v>90</v>
      </c>
      <c r="E15" s="7" t="s">
        <v>96</v>
      </c>
      <c r="F15" s="7" t="s">
        <v>97</v>
      </c>
      <c r="G15" s="7" t="s">
        <v>98</v>
      </c>
      <c r="H15" s="8" t="s">
        <v>20</v>
      </c>
      <c r="I15" s="5" t="s">
        <v>21</v>
      </c>
      <c r="J15" s="7"/>
      <c r="K15" s="7"/>
      <c r="L15" s="7"/>
      <c r="M15" s="7"/>
    </row>
    <row r="16" customFormat="false" ht="45.75" hidden="false" customHeight="true" outlineLevel="0" collapsed="false">
      <c r="A16" s="2" t="s">
        <v>99</v>
      </c>
      <c r="B16" s="3" t="s">
        <v>88</v>
      </c>
      <c r="C16" s="3" t="s">
        <v>100</v>
      </c>
      <c r="D16" s="3" t="s">
        <v>90</v>
      </c>
      <c r="E16" s="3" t="s">
        <v>101</v>
      </c>
      <c r="F16" s="3" t="s">
        <v>102</v>
      </c>
      <c r="G16" s="3" t="s">
        <v>98</v>
      </c>
      <c r="H16" s="4" t="s">
        <v>20</v>
      </c>
      <c r="I16" s="5" t="s">
        <v>21</v>
      </c>
      <c r="J16" s="3"/>
      <c r="K16" s="3"/>
      <c r="L16" s="3"/>
      <c r="M16" s="3"/>
    </row>
    <row r="17" customFormat="false" ht="45.75" hidden="false" customHeight="true" outlineLevel="0" collapsed="false">
      <c r="A17" s="6" t="s">
        <v>103</v>
      </c>
      <c r="B17" s="7" t="s">
        <v>104</v>
      </c>
      <c r="C17" s="7" t="s">
        <v>105</v>
      </c>
      <c r="D17" s="7" t="s">
        <v>106</v>
      </c>
      <c r="E17" s="7" t="s">
        <v>107</v>
      </c>
      <c r="F17" s="7" t="s">
        <v>108</v>
      </c>
      <c r="G17" s="7" t="s">
        <v>109</v>
      </c>
      <c r="H17" s="9" t="s">
        <v>38</v>
      </c>
      <c r="I17" s="5" t="s">
        <v>21</v>
      </c>
      <c r="J17" s="7"/>
      <c r="K17" s="7"/>
      <c r="L17" s="7"/>
      <c r="M17" s="7"/>
    </row>
    <row r="18" customFormat="false" ht="45.75" hidden="false" customHeight="true" outlineLevel="0" collapsed="false">
      <c r="A18" s="2" t="s">
        <v>110</v>
      </c>
      <c r="B18" s="3" t="s">
        <v>104</v>
      </c>
      <c r="C18" s="3" t="s">
        <v>111</v>
      </c>
      <c r="D18" s="3" t="s">
        <v>112</v>
      </c>
      <c r="E18" s="3" t="s">
        <v>113</v>
      </c>
      <c r="F18" s="3" t="s">
        <v>114</v>
      </c>
      <c r="G18" s="3" t="s">
        <v>115</v>
      </c>
      <c r="H18" s="10" t="s">
        <v>38</v>
      </c>
      <c r="I18" s="5" t="s">
        <v>21</v>
      </c>
      <c r="J18" s="3"/>
      <c r="K18" s="3"/>
      <c r="L18" s="3"/>
      <c r="M18" s="3"/>
    </row>
    <row r="19" customFormat="false" ht="45.75" hidden="false" customHeight="true" outlineLevel="0" collapsed="false">
      <c r="A19" s="6" t="s">
        <v>116</v>
      </c>
      <c r="B19" s="7" t="s">
        <v>104</v>
      </c>
      <c r="C19" s="7" t="s">
        <v>117</v>
      </c>
      <c r="D19" s="7" t="s">
        <v>118</v>
      </c>
      <c r="E19" s="7" t="s">
        <v>119</v>
      </c>
      <c r="F19" s="7" t="s">
        <v>120</v>
      </c>
      <c r="G19" s="7" t="s">
        <v>121</v>
      </c>
      <c r="H19" s="9" t="s">
        <v>38</v>
      </c>
      <c r="I19" s="5" t="s">
        <v>21</v>
      </c>
      <c r="J19" s="7"/>
      <c r="K19" s="7"/>
      <c r="L19" s="7"/>
      <c r="M19" s="7"/>
    </row>
    <row r="20" customFormat="false" ht="45.75" hidden="false" customHeight="true" outlineLevel="0" collapsed="false">
      <c r="A20" s="2" t="s">
        <v>122</v>
      </c>
      <c r="B20" s="3" t="s">
        <v>123</v>
      </c>
      <c r="C20" s="3" t="s">
        <v>124</v>
      </c>
      <c r="D20" s="3" t="s">
        <v>125</v>
      </c>
      <c r="E20" s="3" t="s">
        <v>126</v>
      </c>
      <c r="F20" s="3" t="s">
        <v>127</v>
      </c>
      <c r="G20" s="3" t="s">
        <v>128</v>
      </c>
      <c r="H20" s="11" t="s">
        <v>129</v>
      </c>
      <c r="I20" s="5" t="s">
        <v>21</v>
      </c>
      <c r="J20" s="3"/>
      <c r="K20" s="3"/>
      <c r="L20" s="3"/>
      <c r="M20" s="3"/>
    </row>
    <row r="21" customFormat="false" ht="45.75" hidden="false" customHeight="true" outlineLevel="0" collapsed="false">
      <c r="A21" s="6" t="s">
        <v>130</v>
      </c>
      <c r="B21" s="7" t="s">
        <v>131</v>
      </c>
      <c r="C21" s="7" t="s">
        <v>132</v>
      </c>
      <c r="D21" s="7" t="s">
        <v>133</v>
      </c>
      <c r="E21" s="7" t="s">
        <v>134</v>
      </c>
      <c r="F21" s="7" t="s">
        <v>135</v>
      </c>
      <c r="G21" s="7" t="s">
        <v>136</v>
      </c>
      <c r="H21" s="8" t="s">
        <v>20</v>
      </c>
      <c r="I21" s="5" t="s">
        <v>21</v>
      </c>
      <c r="J21" s="7"/>
      <c r="K21" s="7"/>
      <c r="L21" s="7"/>
      <c r="M21" s="7"/>
    </row>
    <row r="22" customFormat="false" ht="45.75" hidden="false" customHeight="true" outlineLevel="0" collapsed="false">
      <c r="A22" s="2" t="s">
        <v>137</v>
      </c>
      <c r="B22" s="3" t="s">
        <v>131</v>
      </c>
      <c r="C22" s="3" t="s">
        <v>138</v>
      </c>
      <c r="D22" s="3" t="s">
        <v>139</v>
      </c>
      <c r="E22" s="3" t="s">
        <v>140</v>
      </c>
      <c r="F22" s="3" t="s">
        <v>141</v>
      </c>
      <c r="G22" s="3" t="s">
        <v>136</v>
      </c>
      <c r="H22" s="4" t="s">
        <v>20</v>
      </c>
      <c r="I22" s="5" t="s">
        <v>21</v>
      </c>
      <c r="J22" s="3"/>
      <c r="K22" s="3"/>
      <c r="L22" s="3"/>
      <c r="M22" s="3"/>
    </row>
    <row r="23" customFormat="false" ht="45.75" hidden="false" customHeight="true" outlineLevel="0" collapsed="false">
      <c r="A23" s="6" t="s">
        <v>142</v>
      </c>
      <c r="B23" s="7" t="s">
        <v>131</v>
      </c>
      <c r="C23" s="7" t="s">
        <v>143</v>
      </c>
      <c r="D23" s="7" t="s">
        <v>139</v>
      </c>
      <c r="E23" s="7" t="s">
        <v>144</v>
      </c>
      <c r="F23" s="7" t="s">
        <v>145</v>
      </c>
      <c r="G23" s="7" t="s">
        <v>136</v>
      </c>
      <c r="H23" s="8" t="s">
        <v>20</v>
      </c>
      <c r="I23" s="5" t="s">
        <v>21</v>
      </c>
      <c r="J23" s="7"/>
      <c r="K23" s="7"/>
      <c r="L23" s="7"/>
      <c r="M23" s="7"/>
    </row>
    <row r="24" customFormat="false" ht="45.75" hidden="false" customHeight="true" outlineLevel="0" collapsed="false">
      <c r="A24" s="2" t="s">
        <v>146</v>
      </c>
      <c r="B24" s="3" t="s">
        <v>147</v>
      </c>
      <c r="C24" s="3" t="s">
        <v>148</v>
      </c>
      <c r="D24" s="3" t="s">
        <v>149</v>
      </c>
      <c r="E24" s="3" t="s">
        <v>150</v>
      </c>
      <c r="F24" s="3" t="s">
        <v>151</v>
      </c>
      <c r="G24" s="3" t="s">
        <v>152</v>
      </c>
      <c r="H24" s="10" t="s">
        <v>38</v>
      </c>
      <c r="I24" s="5" t="s">
        <v>21</v>
      </c>
      <c r="J24" s="3"/>
      <c r="K24" s="3"/>
      <c r="L24" s="3"/>
      <c r="M24" s="3"/>
    </row>
    <row r="25" customFormat="false" ht="45.75" hidden="false" customHeight="true" outlineLevel="0" collapsed="false">
      <c r="A25" s="6" t="s">
        <v>153</v>
      </c>
      <c r="B25" s="7" t="s">
        <v>147</v>
      </c>
      <c r="C25" s="7" t="s">
        <v>154</v>
      </c>
      <c r="D25" s="7" t="s">
        <v>155</v>
      </c>
      <c r="E25" s="7" t="s">
        <v>156</v>
      </c>
      <c r="F25" s="7" t="s">
        <v>157</v>
      </c>
      <c r="G25" s="7" t="s">
        <v>158</v>
      </c>
      <c r="H25" s="9" t="s">
        <v>38</v>
      </c>
      <c r="I25" s="5" t="s">
        <v>21</v>
      </c>
      <c r="J25" s="7"/>
      <c r="K25" s="7"/>
      <c r="L25" s="7"/>
      <c r="M25" s="7"/>
    </row>
    <row r="26" customFormat="false" ht="45.75" hidden="false" customHeight="true" outlineLevel="0" collapsed="false">
      <c r="A26" s="2" t="s">
        <v>159</v>
      </c>
      <c r="B26" s="3" t="s">
        <v>160</v>
      </c>
      <c r="C26" s="3" t="s">
        <v>161</v>
      </c>
      <c r="D26" s="3" t="s">
        <v>162</v>
      </c>
      <c r="E26" s="3" t="s">
        <v>163</v>
      </c>
      <c r="F26" s="3" t="s">
        <v>164</v>
      </c>
      <c r="G26" s="3" t="s">
        <v>165</v>
      </c>
      <c r="H26" s="12" t="s">
        <v>166</v>
      </c>
      <c r="I26" s="5" t="s">
        <v>21</v>
      </c>
      <c r="J26" s="3"/>
      <c r="K26" s="3"/>
      <c r="L26" s="3"/>
      <c r="M26" s="3"/>
    </row>
    <row r="27" customFormat="false" ht="45.75" hidden="false" customHeight="true" outlineLevel="0" collapsed="false">
      <c r="A27" s="6" t="s">
        <v>167</v>
      </c>
      <c r="B27" s="7" t="s">
        <v>160</v>
      </c>
      <c r="C27" s="7" t="s">
        <v>168</v>
      </c>
      <c r="D27" s="7" t="s">
        <v>169</v>
      </c>
      <c r="E27" s="7" t="s">
        <v>170</v>
      </c>
      <c r="F27" s="7" t="s">
        <v>171</v>
      </c>
      <c r="G27" s="7" t="s">
        <v>172</v>
      </c>
      <c r="H27" s="13" t="s">
        <v>166</v>
      </c>
      <c r="I27" s="5" t="s">
        <v>21</v>
      </c>
      <c r="J27" s="7"/>
      <c r="K27" s="7"/>
      <c r="L27" s="7"/>
      <c r="M27" s="7"/>
    </row>
    <row r="29" customFormat="false" ht="15" hidden="false" customHeight="false" outlineLevel="0" collapsed="false">
      <c r="A29" s="14" t="s">
        <v>173</v>
      </c>
    </row>
    <row r="30" customFormat="false" ht="15" hidden="false" customHeight="true" outlineLevel="0" collapsed="false">
      <c r="A30" s="15" t="s">
        <v>174</v>
      </c>
      <c r="B30" s="15"/>
      <c r="C30" s="15"/>
      <c r="D30" s="15"/>
      <c r="E30" s="15"/>
      <c r="F30" s="15"/>
    </row>
  </sheetData>
  <autoFilter ref="A1:M27"/>
  <mergeCells count="1">
    <mergeCell ref="A30:F30"/>
  </mergeCells>
  <dataValidations count="1">
    <dataValidation allowBlank="true" errorStyle="stop" operator="between" showDropDown="false" showErrorMessage="false" showInputMessage="false" sqref="I2:I27" type="list">
      <formula1>"Not Executed,Pass,Fail,Blocked"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4"/>
    <col collapsed="false" customWidth="true" hidden="false" outlineLevel="0" max="3" min="3" style="0" width="3"/>
    <col collapsed="false" customWidth="true" hidden="false" outlineLevel="0" max="4" min="4" style="0" width="22"/>
    <col collapsed="false" customWidth="true" hidden="false" outlineLevel="0" max="5" min="5" style="0" width="14"/>
  </cols>
  <sheetData>
    <row r="1" customFormat="false" ht="17.35" hidden="false" customHeight="false" outlineLevel="0" collapsed="false">
      <c r="A1" s="16" t="s">
        <v>175</v>
      </c>
      <c r="B1" s="16"/>
      <c r="C1" s="16"/>
      <c r="D1" s="16"/>
      <c r="E1" s="16"/>
    </row>
    <row r="3" customFormat="false" ht="15" hidden="false" customHeight="false" outlineLevel="0" collapsed="false">
      <c r="A3" s="17" t="s">
        <v>176</v>
      </c>
      <c r="D3" s="17" t="s">
        <v>177</v>
      </c>
    </row>
    <row r="4" customFormat="false" ht="19.5" hidden="false" customHeight="true" outlineLevel="0" collapsed="false">
      <c r="A4" s="1" t="s">
        <v>8</v>
      </c>
      <c r="B4" s="1" t="s">
        <v>178</v>
      </c>
      <c r="C4" s="1"/>
      <c r="D4" s="18" t="s">
        <v>1</v>
      </c>
      <c r="E4" s="18" t="s">
        <v>178</v>
      </c>
    </row>
    <row r="5" customFormat="false" ht="15" hidden="false" customHeight="false" outlineLevel="0" collapsed="false">
      <c r="A5" s="19" t="s">
        <v>21</v>
      </c>
      <c r="B5" s="20" t="n">
        <f aca="false">COUNTIF('Test Cases'!$I$2:$I$27,A5)</f>
        <v>26</v>
      </c>
      <c r="D5" s="21" t="s">
        <v>14</v>
      </c>
      <c r="E5" s="22" t="n">
        <f aca="false">COUNTIF('Test Cases'!$B$2:$B$27,D5)</f>
        <v>4</v>
      </c>
    </row>
    <row r="6" customFormat="false" ht="15" hidden="false" customHeight="false" outlineLevel="0" collapsed="false">
      <c r="A6" s="23" t="s">
        <v>179</v>
      </c>
      <c r="B6" s="24" t="n">
        <f aca="false">COUNTIF('Test Cases'!$I$2:$I$27,A6)</f>
        <v>0</v>
      </c>
      <c r="D6" s="25" t="s">
        <v>40</v>
      </c>
      <c r="E6" s="26" t="n">
        <f aca="false">COUNTIF('Test Cases'!$B$2:$B$27,D6)</f>
        <v>3</v>
      </c>
    </row>
    <row r="7" customFormat="false" ht="15" hidden="false" customHeight="false" outlineLevel="0" collapsed="false">
      <c r="A7" s="27" t="s">
        <v>180</v>
      </c>
      <c r="B7" s="28" t="n">
        <f aca="false">COUNTIF('Test Cases'!$I$2:$I$27,A7)</f>
        <v>0</v>
      </c>
      <c r="D7" s="21" t="s">
        <v>58</v>
      </c>
      <c r="E7" s="22" t="n">
        <f aca="false">COUNTIF('Test Cases'!$B$2:$B$27,D7)</f>
        <v>3</v>
      </c>
    </row>
    <row r="8" customFormat="false" ht="15" hidden="false" customHeight="false" outlineLevel="0" collapsed="false">
      <c r="A8" s="29" t="s">
        <v>181</v>
      </c>
      <c r="B8" s="30" t="n">
        <f aca="false">COUNTIF('Test Cases'!$I$2:$I$27,A8)</f>
        <v>0</v>
      </c>
      <c r="D8" s="25" t="s">
        <v>75</v>
      </c>
      <c r="E8" s="26" t="n">
        <f aca="false">COUNTIF('Test Cases'!$B$2:$B$27,D8)</f>
        <v>2</v>
      </c>
    </row>
    <row r="9" customFormat="false" ht="15" hidden="false" customHeight="false" outlineLevel="0" collapsed="false">
      <c r="D9" s="21" t="s">
        <v>88</v>
      </c>
      <c r="E9" s="22" t="n">
        <f aca="false">COUNTIF('Test Cases'!$B$2:$B$27,D9)</f>
        <v>3</v>
      </c>
    </row>
    <row r="10" customFormat="false" ht="15" hidden="false" customHeight="false" outlineLevel="0" collapsed="false">
      <c r="D10" s="25" t="s">
        <v>104</v>
      </c>
      <c r="E10" s="26" t="n">
        <f aca="false">COUNTIF('Test Cases'!$B$2:$B$27,D10)</f>
        <v>3</v>
      </c>
    </row>
    <row r="11" customFormat="false" ht="15" hidden="false" customHeight="false" outlineLevel="0" collapsed="false">
      <c r="A11" s="31" t="s">
        <v>182</v>
      </c>
      <c r="B11" s="31" t="n">
        <f aca="false">COUNTA('Test Cases'!$A$2:$A$27)</f>
        <v>26</v>
      </c>
      <c r="D11" s="21" t="s">
        <v>123</v>
      </c>
      <c r="E11" s="22" t="n">
        <f aca="false">COUNTIF('Test Cases'!$B$2:$B$27,D11)</f>
        <v>1</v>
      </c>
    </row>
    <row r="12" customFormat="false" ht="15" hidden="false" customHeight="false" outlineLevel="0" collapsed="false">
      <c r="D12" s="25" t="s">
        <v>131</v>
      </c>
      <c r="E12" s="26" t="n">
        <f aca="false">COUNTIF('Test Cases'!$B$2:$B$27,D12)</f>
        <v>3</v>
      </c>
    </row>
    <row r="13" customFormat="false" ht="15" hidden="false" customHeight="false" outlineLevel="0" collapsed="false">
      <c r="D13" s="21" t="s">
        <v>147</v>
      </c>
      <c r="E13" s="22" t="n">
        <f aca="false">COUNTIF('Test Cases'!$B$2:$B$27,D13)</f>
        <v>2</v>
      </c>
    </row>
    <row r="14" customFormat="false" ht="15" hidden="false" customHeight="false" outlineLevel="0" collapsed="false">
      <c r="D14" s="25" t="s">
        <v>160</v>
      </c>
      <c r="E14" s="26" t="n">
        <f aca="false">COUNTIF('Test Cases'!$B$2:$B$27,D14)</f>
        <v>2</v>
      </c>
    </row>
    <row r="16" customFormat="false" ht="22.35" hidden="false" customHeight="true" outlineLevel="0" collapsed="false">
      <c r="A16" s="15" t="s">
        <v>183</v>
      </c>
      <c r="B16" s="15"/>
      <c r="C16" s="15"/>
      <c r="D16" s="15"/>
      <c r="E16" s="15"/>
    </row>
  </sheetData>
  <mergeCells count="2">
    <mergeCell ref="A1:E1"/>
    <mergeCell ref="A16:E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6"/>
    <col collapsed="false" customWidth="true" hidden="false" outlineLevel="0" max="3" min="3" style="0" width="20"/>
    <col collapsed="false" customWidth="true" hidden="false" outlineLevel="0" max="4" min="4" style="0" width="30"/>
    <col collapsed="false" customWidth="true" hidden="false" outlineLevel="0" max="5" min="5" style="0" width="20"/>
    <col collapsed="false" customWidth="true" hidden="false" outlineLevel="0" max="6" min="6" style="0" width="26"/>
    <col collapsed="false" customWidth="true" hidden="false" outlineLevel="0" max="7" min="7" style="0" width="16"/>
  </cols>
  <sheetData>
    <row r="1" customFormat="false" ht="33.75" hidden="false" customHeight="true" outlineLevel="0" collapsed="false">
      <c r="A1" s="1" t="s">
        <v>184</v>
      </c>
      <c r="B1" s="1" t="s">
        <v>185</v>
      </c>
      <c r="C1" s="1" t="s">
        <v>186</v>
      </c>
      <c r="D1" s="1" t="s">
        <v>187</v>
      </c>
      <c r="E1" s="1" t="s">
        <v>188</v>
      </c>
      <c r="F1" s="1" t="s">
        <v>189</v>
      </c>
      <c r="G1" s="1" t="s">
        <v>190</v>
      </c>
    </row>
    <row r="2" customFormat="false" ht="30" hidden="false" customHeight="true" outlineLevel="0" collapsed="false">
      <c r="A2" s="32" t="s">
        <v>191</v>
      </c>
      <c r="B2" s="32" t="s">
        <v>192</v>
      </c>
      <c r="C2" s="32" t="s">
        <v>193</v>
      </c>
      <c r="D2" s="32" t="s">
        <v>194</v>
      </c>
      <c r="E2" s="32" t="s">
        <v>195</v>
      </c>
      <c r="F2" s="32" t="s">
        <v>196</v>
      </c>
      <c r="G2" s="32" t="s">
        <v>191</v>
      </c>
    </row>
    <row r="3" customFormat="false" ht="30" hidden="false" customHeight="true" outlineLevel="0" collapsed="false">
      <c r="A3" s="33" t="s">
        <v>191</v>
      </c>
      <c r="B3" s="33" t="s">
        <v>197</v>
      </c>
      <c r="C3" s="33"/>
      <c r="D3" s="33"/>
      <c r="E3" s="33"/>
      <c r="F3" s="33"/>
      <c r="G3" s="33"/>
    </row>
    <row r="4" customFormat="false" ht="30" hidden="false" customHeight="true" outlineLevel="0" collapsed="false">
      <c r="A4" s="32" t="s">
        <v>191</v>
      </c>
      <c r="B4" s="32" t="s">
        <v>198</v>
      </c>
      <c r="C4" s="32"/>
      <c r="D4" s="32"/>
      <c r="E4" s="32"/>
      <c r="F4" s="32"/>
      <c r="G4" s="32"/>
    </row>
    <row r="5" customFormat="false" ht="30" hidden="false" customHeight="true" outlineLevel="0" collapsed="false">
      <c r="A5" s="33" t="s">
        <v>191</v>
      </c>
      <c r="B5" s="33" t="s">
        <v>199</v>
      </c>
      <c r="C5" s="33"/>
      <c r="D5" s="33"/>
      <c r="E5" s="33"/>
      <c r="F5" s="33"/>
      <c r="G5" s="33"/>
    </row>
    <row r="6" customFormat="false" ht="30" hidden="false" customHeight="true" outlineLevel="0" collapsed="false">
      <c r="A6" s="32" t="s">
        <v>191</v>
      </c>
      <c r="B6" s="32" t="s">
        <v>200</v>
      </c>
      <c r="C6" s="32"/>
      <c r="D6" s="32"/>
      <c r="E6" s="32"/>
      <c r="F6" s="32"/>
      <c r="G6" s="32"/>
    </row>
    <row r="8" customFormat="false" ht="15" hidden="false" customHeight="true" outlineLevel="0" collapsed="false">
      <c r="A8" s="15" t="s">
        <v>201</v>
      </c>
      <c r="B8" s="15"/>
      <c r="C8" s="15"/>
      <c r="D8" s="15"/>
      <c r="E8" s="15"/>
      <c r="F8" s="15"/>
      <c r="G8" s="15"/>
    </row>
  </sheetData>
  <mergeCells count="1">
    <mergeCell ref="A8:G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2026-09-22T06:58:05Z</dcterms:created>
  <dc:creator>openpyxl</dc:creator>
  <dc:description/>
  <dc:language>en-US</dc:language>
  <cp:lastModifiedBy/>
  <dcterms:modified xsi:type="dcterms:W3CDTF">2026-09-22T06:58:05Z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